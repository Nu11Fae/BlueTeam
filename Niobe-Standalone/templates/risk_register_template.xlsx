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mc:AlternateContent xmlns:mc="http://schemas.openxmlformats.org/markup-compatibility/2006">
    <mc:Choice Requires="x15">
      <x15ac:absPath xmlns:x15ac="http://schemas.microsoft.com/office/spreadsheetml/2010/11/ac" url="D:\working\waccache\AM4PEPF000078F8\EXCELCNV\bc510c3f-da23-42ca-8d4b-bb275bfd0698\"/>
    </mc:Choice>
  </mc:AlternateContent>
  <xr:revisionPtr revIDLastSave="17" documentId="8_{BC86B3F7-3548-4BEB-B213-39797DA70523}" xr6:coauthVersionLast="47" xr6:coauthVersionMax="47" xr10:uidLastSave="{C0BFA286-5826-471E-A19C-62F2D9ABACC5}"/>
  <bookViews>
    <workbookView xWindow="-60" yWindow="-60" windowWidth="15480" windowHeight="11640" activeTab="2" xr2:uid="{00000000-000D-0000-FFFF-FFFF00000000}"/>
  </bookViews>
  <sheets>
    <sheet name="Risk Register" sheetId="1" r:id="rId1"/>
    <sheet name="Scoring Parameters" sheetId="2" r:id="rId2"/>
    <sheet name="Executive Vulnerabilitie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3" l="1" a="1"/>
  <c r="M7" i="3"/>
  <c r="L7" i="3" a="1"/>
  <c r="L7" i="3"/>
  <c r="K7" i="3" a="1"/>
  <c r="K7" i="3"/>
  <c r="J7" i="3" a="1"/>
  <c r="J7" i="3"/>
  <c r="F7" i="3" a="1"/>
  <c r="F7" i="3"/>
  <c r="E7" i="3" a="1"/>
  <c r="E7" i="3"/>
  <c r="D7" i="3" a="1"/>
  <c r="D7" i="3"/>
  <c r="C7" i="3" a="1"/>
  <c r="C7" i="3"/>
  <c r="B7" i="3" a="1"/>
  <c r="B7" i="3"/>
  <c r="A7" i="3" a="1"/>
  <c r="A7" i="3"/>
  <c r="S10" i="1" a="1"/>
  <c r="S10" i="1"/>
  <c r="Q10" i="1" a="1"/>
  <c r="Q10" i="1"/>
  <c r="R10" i="1" s="1" a="1"/>
  <c r="R10" i="1" s="1"/>
  <c r="G7" i="3" l="1" a="1"/>
  <c r="G7" i="3" s="1"/>
  <c r="T10" i="1" a="1"/>
  <c r="T10" i="1" s="1"/>
  <c r="H7" i="3" l="1" a="1"/>
  <c r="H7" i="3" s="1"/>
  <c r="U10" i="1" a="1"/>
  <c r="U10" i="1" s="1"/>
  <c r="I7" i="3" s="1" a="1"/>
  <c r="I7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Tecnolife</author>
  </authors>
  <commentList>
    <comment ref="Q9" authorId="0" shapeId="0" xr:uid="{00000000-0006-0000-0000-000001000000}">
      <text>
        <r>
          <rPr>
            <sz val="11"/>
            <color indexed="8"/>
            <rFont val="Calibri"/>
          </rPr>
          <t>Tecnolife:
Derived metric per HLD Appendix B.</t>
        </r>
      </text>
    </comment>
    <comment ref="R9" authorId="0" shapeId="0" xr:uid="{00000000-0006-0000-0000-000002000000}">
      <text>
        <r>
          <rPr>
            <sz val="11"/>
            <color indexed="8"/>
            <rFont val="Calibri"/>
          </rPr>
          <t>Tecnolife:
Residual Risk Score derived from Inherent Risk and Control Weakness.</t>
        </r>
      </text>
    </comment>
    <comment ref="S9" authorId="0" shapeId="0" xr:uid="{00000000-0006-0000-0000-000003000000}">
      <text>
        <r>
          <rPr>
            <sz val="11"/>
            <color indexed="8"/>
            <rFont val="Calibri"/>
          </rPr>
          <t>Tecnolife:
Transaction Materiality per HLD Appendix B.</t>
        </r>
      </text>
    </comment>
    <comment ref="T9" authorId="0" shapeId="0" xr:uid="{00000000-0006-0000-0000-000004000000}">
      <text>
        <r>
          <rPr>
            <sz val="11"/>
            <color indexed="8"/>
            <rFont val="Calibri"/>
          </rPr>
          <t>Tecnolife:
Final Score = MAX(Residual Risk Score, Transaction Materiality).</t>
        </r>
      </text>
    </comment>
    <comment ref="U9" authorId="0" shapeId="0" xr:uid="{00000000-0006-0000-0000-000005000000}">
      <text>
        <r>
          <rPr>
            <sz val="11"/>
            <color indexed="8"/>
            <rFont val="Calibri"/>
          </rPr>
          <t>Tecnolife:
Grade mapping on rounded 1-decimal Final Score.</t>
        </r>
      </text>
    </comment>
  </commentList>
</comments>
</file>

<file path=xl/sharedStrings.xml><?xml version="1.0" encoding="utf-8"?>
<sst xmlns="http://schemas.openxmlformats.org/spreadsheetml/2006/main" count="80" uniqueCount="71">
  <si>
    <t>Risk Register</t>
  </si>
  <si>
    <t>Security findings register | scoring model: Residual Risk Score + Transaction Materiality | allineato all’Appendice C dell’HLD</t>
  </si>
  <si>
    <t>Versione documento: 1.0 | finestra operativa HLD 26-03-2026 / 15-04-2026</t>
  </si>
  <si>
    <t>Legenda</t>
  </si>
  <si>
    <t>Scoring model &amp; baseline</t>
  </si>
  <si>
    <t>Finding</t>
  </si>
  <si>
    <t>Evidenza validata, specifica e tracciabile di vulnerabilità, weakness, control gap, issue architetturale, difetto logico, errata configurazione o non-conformità, riferibile a un asset, componente, flusso, processo o controllo determinato, supportata da evidenza sufficiente e verificabile, valutata secondo il modello di risk rating adottato e rilevante, in concreto, ai fini tecnici, operativi, regolatori o transazionali.</t>
  </si>
  <si>
    <t>Baseline</t>
  </si>
  <si>
    <t>NIST CSF 2.0 | NIST SSDF | OWASP ASVS 5.0 | OWASP WSTG | CVSS v4.0 | MITRE CWE/CVE (riferimenti completi inseriti in documento di High Level Design)</t>
  </si>
  <si>
    <t>Risk</t>
  </si>
  <si>
    <t>Valutazione aritmetica della materialità: Inherent Risk, Residual Risk Score, Transaction Materiality e grade finale A–E.</t>
  </si>
  <si>
    <t>Formula 1</t>
  </si>
  <si>
    <t>Inherent Risk = 0.35×Likelihood + 0.40×Technical Impact + 0.25×Business Impact</t>
  </si>
  <si>
    <t>Validation</t>
  </si>
  <si>
    <t>Il Risk Register accoglie di regola soltanto Validated Findings; i falsi positivi non vengono iscritti come finding.</t>
  </si>
  <si>
    <t>Formula 2</t>
  </si>
  <si>
    <t>Residual Risk Score = 0.70×Inherent Risk + 0.30×Control Weakness | Transaction Materiality = 0.50×Transaction Impact + 0.25×Compliance Exposure + 0.25×Remediation Effort</t>
  </si>
  <si>
    <t>Finding register</t>
  </si>
  <si>
    <t>Finding ID</t>
  </si>
  <si>
    <t>Title</t>
  </si>
  <si>
    <t>Finding Type</t>
  </si>
  <si>
    <t>Affected Asset</t>
  </si>
  <si>
    <t>Taxonomy</t>
  </si>
  <si>
    <t>Description</t>
  </si>
  <si>
    <t>Evidence Reference / Evidence Summary</t>
  </si>
  <si>
    <t>Validation Status</t>
  </si>
  <si>
    <t>Evidence Confidence</t>
  </si>
  <si>
    <t>Likelihood</t>
  </si>
  <si>
    <t>Technical Impact</t>
  </si>
  <si>
    <t>Business Impact</t>
  </si>
  <si>
    <t>Control Weakness</t>
  </si>
  <si>
    <t>Compliance Exposure</t>
  </si>
  <si>
    <t>Remediation Effort</t>
  </si>
  <si>
    <t>Transaction Impact</t>
  </si>
  <si>
    <t>Inherent Risk</t>
  </si>
  <si>
    <t>Residual Risk</t>
  </si>
  <si>
    <t>Transaction Materiality</t>
  </si>
  <si>
    <t>Final Score</t>
  </si>
  <si>
    <t>Grade</t>
  </si>
  <si>
    <t>Classification (Red Flag / Negotiation Relevant / Integration Item / Observation)</t>
  </si>
  <si>
    <t>Suggested Action</t>
  </si>
  <si>
    <t>TLF-SEC-017</t>
  </si>
  <si>
    <t>Broken authorization on export endpoint</t>
  </si>
  <si>
    <t>Vulnerability</t>
  </si>
  <si>
    <t>Billing API | ExportController | src/Billing.Api/Controllers/ExportController.cs | Endpoint: /api/admin/export</t>
  </si>
  <si>
    <t>CWE-639 | OWASP ASVS 5.0 | OWASP WSTG</t>
  </si>
  <si>
    <t>A standard user can export another tenant's data by manipulating tenantId.</t>
  </si>
  <si>
    <t>Request tampering allowed cross-tenant data export during controlled validation.</t>
  </si>
  <si>
    <t>Validated finding
(Reproduced)</t>
  </si>
  <si>
    <t>High</t>
  </si>
  <si>
    <t>Negotiation Relevant</t>
  </si>
  <si>
    <t>Enforce server-side tenant authorization checks</t>
  </si>
  <si>
    <t>Parameter</t>
  </si>
  <si>
    <t>Value</t>
  </si>
  <si>
    <t>Inherent_Likelihood_w</t>
  </si>
  <si>
    <t>Inherent_Tech_w</t>
  </si>
  <si>
    <t>Inherent_Business_w</t>
  </si>
  <si>
    <t>Residual_Inherent_w</t>
  </si>
  <si>
    <t>Residual_Control_w</t>
  </si>
  <si>
    <t>Materiality_Transaction_w</t>
  </si>
  <si>
    <t>Materiality_Compliance_w</t>
  </si>
  <si>
    <t>Materiality_Remediation_w</t>
  </si>
  <si>
    <t>Executive Vulnerability Findings</t>
  </si>
  <si>
    <t>Vista executive concentrata esclusivamente sui finding classificati come Vulnerability</t>
  </si>
  <si>
    <t>Nota metodologica: il presente foglio riporta esclusivamente i finding classificati come Vulnerability. Per tali finding si intendono evidenze riconducibili a vulnerabilità o weakness qualificate secondo gli standard e riferimenti adottati nell’HLD, tra cui FIRST CVSS v4.0 per la severity tecnica, OWASP ASVS 5.0 e OWASP WSTG per requisiti e testing applicativo, nonché MITRE CWE/CVE/CAPEC per tassonomia e pattern di attacco. Esempi tipici includono authorization flaws / IDOR-BOLA (es. CWE-639), injection, SSRF, XXE, insecure deserialization e race conditions.</t>
  </si>
  <si>
    <t>Executive view</t>
  </si>
  <si>
    <t>Taxonomy / Standard Mapping</t>
  </si>
  <si>
    <t>Classification</t>
  </si>
  <si>
    <t>Executive Description</t>
  </si>
  <si>
    <t>Key Evidence</t>
  </si>
  <si>
    <t>Uso interno — confidenziale | Tecnolife | estratto executive allineato al Risk Register master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</si>
</sst>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indexed="8"/>
      <name val="Calibri"/>
    </font>
    <font>
      <sz val="11"/>
      <color indexed="8"/>
      <name val="Aptos"/>
    </font>
    <font>
      <sz val="9"/>
      <color indexed="15"/>
      <name val="Aptos"/>
    </font>
    <font>
      <i/>
      <sz val="9"/>
      <color indexed="13"/>
      <name val="Aptos"/>
    </font>
    <font>
      <b/>
      <sz val="11"/>
      <color indexed="12"/>
      <name val="Aptos"/>
    </font>
    <font>
      <b/>
      <sz val="10"/>
      <color indexed="13"/>
      <name val="Aptos"/>
    </font>
    <font>
      <b/>
      <sz val="11"/>
      <color rgb="FFBF3131"/>
      <name val="Aptos"/>
    </font>
    <font>
      <b/>
      <sz val="10"/>
      <color indexed="12"/>
      <name val="Aptos"/>
    </font>
    <font>
      <sz val="10"/>
      <color indexed="15"/>
      <name val="Aptos"/>
    </font>
    <font>
      <b/>
      <sz val="10"/>
      <color indexed="20"/>
      <name val="Aptos"/>
    </font>
    <font>
      <b/>
      <sz val="10"/>
      <color indexed="23"/>
      <name val="Aptos"/>
    </font>
    <font>
      <i/>
      <sz val="9"/>
      <color indexed="26"/>
      <name val="Aptos"/>
    </font>
    <font>
      <b/>
      <sz val="18"/>
      <color rgb="FFFFFFFF"/>
      <name val="Avenir Next LT Pro"/>
    </font>
    <font>
      <sz val="18"/>
      <color indexed="8"/>
      <name val="Aptos"/>
    </font>
  </fonts>
  <fills count="12">
    <fill>
      <patternFill patternType="none"/>
    </fill>
    <fill>
      <patternFill patternType="gray125"/>
    </fill>
    <fill>
      <patternFill patternType="solid">
        <fgColor indexed="13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indexed="24"/>
        <bgColor auto="1"/>
      </patternFill>
    </fill>
    <fill>
      <patternFill patternType="solid">
        <fgColor indexed="25"/>
        <bgColor auto="1"/>
      </patternFill>
    </fill>
    <fill>
      <patternFill patternType="solid">
        <fgColor rgb="FFEAD196"/>
        <bgColor rgb="FF000000"/>
      </patternFill>
    </fill>
  </fills>
  <borders count="24">
    <border>
      <left/>
      <right/>
      <top/>
      <bottom/>
      <diagonal/>
    </border>
    <border>
      <left/>
      <right/>
      <top style="thin">
        <color indexed="14"/>
      </top>
      <bottom/>
      <diagonal/>
    </border>
    <border>
      <left/>
      <right style="thin">
        <color indexed="14"/>
      </right>
      <top style="thin">
        <color indexed="14"/>
      </top>
      <bottom/>
      <diagonal/>
    </border>
    <border>
      <left style="thin">
        <color indexed="14"/>
      </left>
      <right/>
      <top/>
      <bottom/>
      <diagonal/>
    </border>
    <border>
      <left/>
      <right/>
      <top/>
      <bottom/>
      <diagonal/>
    </border>
    <border>
      <left/>
      <right style="thin">
        <color indexed="14"/>
      </right>
      <top/>
      <bottom/>
      <diagonal/>
    </border>
    <border>
      <left/>
      <right/>
      <top/>
      <bottom style="thin">
        <color indexed="17"/>
      </bottom>
      <diagonal/>
    </border>
    <border>
      <left/>
      <right style="thin">
        <color indexed="14"/>
      </right>
      <top/>
      <bottom style="thin">
        <color indexed="17"/>
      </bottom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/>
      <right/>
      <top style="thin">
        <color indexed="17"/>
      </top>
      <bottom style="thin">
        <color indexed="17"/>
      </bottom>
      <diagonal/>
    </border>
    <border>
      <left/>
      <right style="thin">
        <color indexed="14"/>
      </right>
      <top style="thin">
        <color indexed="17"/>
      </top>
      <bottom style="thin">
        <color indexed="17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/>
      <top style="thin">
        <color indexed="17"/>
      </top>
      <bottom/>
      <diagonal/>
    </border>
    <border>
      <left/>
      <right/>
      <top style="thin">
        <color indexed="17"/>
      </top>
      <bottom/>
      <diagonal/>
    </border>
    <border>
      <left/>
      <right style="thin">
        <color indexed="14"/>
      </right>
      <top style="thin">
        <color indexed="17"/>
      </top>
      <bottom/>
      <diagonal/>
    </border>
    <border>
      <left style="thin">
        <color indexed="14"/>
      </left>
      <right/>
      <top/>
      <bottom style="thin">
        <color indexed="14"/>
      </bottom>
      <diagonal/>
    </border>
    <border>
      <left/>
      <right/>
      <top/>
      <bottom style="thin">
        <color indexed="14"/>
      </bottom>
      <diagonal/>
    </border>
    <border>
      <left/>
      <right style="thin">
        <color indexed="14"/>
      </right>
      <top/>
      <bottom style="thin">
        <color indexed="14"/>
      </bottom>
      <diagonal/>
    </border>
    <border>
      <left/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/>
      <diagonal/>
    </border>
    <border>
      <left style="thin">
        <color indexed="14"/>
      </left>
      <right style="thin">
        <color indexed="14"/>
      </right>
      <top style="thin">
        <color indexed="17"/>
      </top>
      <bottom style="thin">
        <color indexed="17"/>
      </bottom>
      <diagonal/>
    </border>
    <border>
      <left style="thin">
        <color indexed="14"/>
      </left>
      <right style="thin">
        <color indexed="14"/>
      </right>
      <top/>
      <bottom style="thin">
        <color indexed="17"/>
      </bottom>
      <diagonal/>
    </border>
    <border>
      <left style="thin">
        <color indexed="14"/>
      </left>
      <right style="thin">
        <color indexed="14"/>
      </right>
      <top/>
      <bottom/>
      <diagonal/>
    </border>
    <border>
      <left style="thin">
        <color rgb="FFAAAAAA"/>
      </left>
      <right/>
      <top style="thin">
        <color rgb="FFD5DCE5"/>
      </top>
      <bottom style="thin">
        <color rgb="FFD5DCE5"/>
      </bottom>
      <diagonal/>
    </border>
  </borders>
  <cellStyleXfs count="1">
    <xf numFmtId="0" fontId="0" fillId="0" borderId="4"/>
  </cellStyleXfs>
  <cellXfs count="44">
    <xf numFmtId="0" fontId="0" fillId="0" borderId="0" xfId="0" applyBorder="1"/>
    <xf numFmtId="0" fontId="0" fillId="0" borderId="11" xfId="0" applyBorder="1"/>
    <xf numFmtId="49" fontId="2" fillId="3" borderId="22" xfId="0" applyNumberFormat="1" applyFont="1" applyFill="1" applyBorder="1" applyAlignment="1">
      <alignment horizontal="left" vertical="center" wrapText="1"/>
    </xf>
    <xf numFmtId="49" fontId="3" fillId="4" borderId="21" xfId="0" applyNumberFormat="1" applyFont="1" applyFill="1" applyBorder="1" applyAlignment="1">
      <alignment horizontal="left" vertical="center" wrapText="1"/>
    </xf>
    <xf numFmtId="49" fontId="4" fillId="5" borderId="8" xfId="0" applyNumberFormat="1" applyFont="1" applyFill="1" applyBorder="1" applyAlignment="1">
      <alignment horizontal="center" vertical="center" wrapText="1"/>
    </xf>
    <xf numFmtId="49" fontId="5" fillId="3" borderId="8" xfId="0" applyNumberFormat="1" applyFont="1" applyFill="1" applyBorder="1" applyAlignment="1">
      <alignment horizontal="left" vertical="center" wrapText="1"/>
    </xf>
    <xf numFmtId="49" fontId="2" fillId="3" borderId="8" xfId="0" applyNumberFormat="1" applyFont="1" applyFill="1" applyBorder="1" applyAlignment="1">
      <alignment horizontal="left" vertical="center" wrapText="1"/>
    </xf>
    <xf numFmtId="0" fontId="6" fillId="11" borderId="23" xfId="0" applyFont="1" applyFill="1" applyBorder="1" applyAlignment="1"/>
    <xf numFmtId="49" fontId="4" fillId="5" borderId="20" xfId="0" applyNumberFormat="1" applyFont="1" applyFill="1" applyBorder="1" applyAlignment="1">
      <alignment horizontal="left" vertical="center"/>
    </xf>
    <xf numFmtId="49" fontId="7" fillId="5" borderId="8" xfId="0" applyNumberFormat="1" applyFont="1" applyFill="1" applyBorder="1" applyAlignment="1">
      <alignment horizontal="center" vertical="center" wrapText="1"/>
    </xf>
    <xf numFmtId="49" fontId="8" fillId="6" borderId="8" xfId="0" applyNumberFormat="1" applyFont="1" applyFill="1" applyBorder="1" applyAlignment="1">
      <alignment horizontal="left" vertical="center" wrapText="1"/>
    </xf>
    <xf numFmtId="49" fontId="9" fillId="7" borderId="8" xfId="0" applyNumberFormat="1" applyFont="1" applyFill="1" applyBorder="1" applyAlignment="1">
      <alignment horizontal="left" vertical="center" wrapText="1"/>
    </xf>
    <xf numFmtId="0" fontId="8" fillId="6" borderId="8" xfId="0" applyFont="1" applyFill="1" applyBorder="1" applyAlignment="1">
      <alignment horizontal="center" vertical="center" wrapText="1"/>
    </xf>
    <xf numFmtId="0" fontId="8" fillId="8" borderId="8" xfId="0" applyFont="1" applyFill="1" applyBorder="1" applyAlignment="1">
      <alignment horizontal="center" vertical="center" wrapText="1"/>
    </xf>
    <xf numFmtId="0" fontId="10" fillId="9" borderId="8" xfId="0" applyFont="1" applyFill="1" applyBorder="1" applyAlignment="1">
      <alignment horizontal="center" vertical="center" wrapText="1"/>
    </xf>
    <xf numFmtId="0" fontId="7" fillId="10" borderId="8" xfId="0" applyFont="1" applyFill="1" applyBorder="1" applyAlignment="1">
      <alignment horizontal="center" vertical="center" wrapText="1"/>
    </xf>
    <xf numFmtId="49" fontId="1" fillId="0" borderId="11" xfId="0" applyNumberFormat="1" applyFont="1" applyBorder="1"/>
    <xf numFmtId="0" fontId="1" fillId="0" borderId="11" xfId="0" applyFont="1" applyBorder="1"/>
    <xf numFmtId="0" fontId="1" fillId="0" borderId="0" xfId="0" applyFont="1" applyBorder="1"/>
    <xf numFmtId="0" fontId="1" fillId="0" borderId="3" xfId="0" applyFont="1" applyBorder="1"/>
    <xf numFmtId="0" fontId="1" fillId="0" borderId="4" xfId="0" applyFont="1"/>
    <xf numFmtId="0" fontId="1" fillId="0" borderId="5" xfId="0" applyFont="1" applyBorder="1"/>
    <xf numFmtId="49" fontId="4" fillId="5" borderId="21" xfId="0" applyNumberFormat="1" applyFont="1" applyFill="1" applyBorder="1" applyAlignment="1">
      <alignment horizontal="left" vertical="center"/>
    </xf>
    <xf numFmtId="0" fontId="8" fillId="6" borderId="8" xfId="0" applyFont="1" applyFill="1" applyBorder="1" applyAlignment="1">
      <alignment horizontal="left" vertical="center" wrapText="1"/>
    </xf>
    <xf numFmtId="0" fontId="9" fillId="7" borderId="8" xfId="0" applyFont="1" applyFill="1" applyBorder="1" applyAlignment="1">
      <alignment horizontal="left" vertical="center" wrapText="1"/>
    </xf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49" fontId="11" fillId="4" borderId="22" xfId="0" applyNumberFormat="1" applyFont="1" applyFill="1" applyBorder="1" applyAlignment="1">
      <alignment horizontal="left" vertical="center" wrapText="1"/>
    </xf>
    <xf numFmtId="0" fontId="1" fillId="0" borderId="15" xfId="0" applyFont="1" applyBorder="1"/>
    <xf numFmtId="0" fontId="1" fillId="0" borderId="16" xfId="0" applyFont="1" applyBorder="1"/>
    <xf numFmtId="0" fontId="1" fillId="0" borderId="17" xfId="0" applyFont="1" applyBorder="1"/>
    <xf numFmtId="49" fontId="12" fillId="2" borderId="19" xfId="0" applyNumberFormat="1" applyFont="1" applyFill="1" applyBorder="1" applyAlignment="1">
      <alignment horizontal="left" vertical="center"/>
    </xf>
    <xf numFmtId="0" fontId="1" fillId="0" borderId="1" xfId="0" applyFont="1" applyBorder="1" applyAlignment="1"/>
    <xf numFmtId="0" fontId="1" fillId="0" borderId="2" xfId="0" applyFont="1" applyBorder="1" applyAlignment="1"/>
    <xf numFmtId="0" fontId="1" fillId="0" borderId="4" xfId="0" applyFont="1" applyAlignment="1"/>
    <xf numFmtId="0" fontId="1" fillId="0" borderId="5" xfId="0" applyFont="1" applyBorder="1" applyAlignment="1"/>
    <xf numFmtId="0" fontId="1" fillId="0" borderId="6" xfId="0" applyFont="1" applyBorder="1" applyAlignment="1"/>
    <xf numFmtId="0" fontId="1" fillId="0" borderId="7" xfId="0" applyFont="1" applyBorder="1" applyAlignment="1"/>
    <xf numFmtId="0" fontId="1" fillId="0" borderId="9" xfId="0" applyFont="1" applyBorder="1" applyAlignment="1"/>
    <xf numFmtId="0" fontId="1" fillId="0" borderId="18" xfId="0" applyFont="1" applyBorder="1" applyAlignment="1"/>
    <xf numFmtId="0" fontId="1" fillId="0" borderId="10" xfId="0" applyFont="1" applyBorder="1" applyAlignment="1"/>
    <xf numFmtId="0" fontId="13" fillId="0" borderId="1" xfId="0" applyFont="1" applyBorder="1" applyAlignment="1"/>
    <xf numFmtId="0" fontId="13" fillId="0" borderId="2" xfId="0" applyFont="1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FFFFFF"/>
      <rgbColor rgb="FFB5372E"/>
      <rgbColor rgb="FFAAAAAA"/>
      <rgbColor rgb="FF1F1F1F"/>
      <rgbColor rgb="FFF3F4F6"/>
      <rgbColor rgb="FFD1D5DB"/>
      <rgbColor rgb="FF1F2D3D"/>
      <rgbColor rgb="FFD9E7F5"/>
      <rgbColor rgb="FF1F7A1F"/>
      <rgbColor rgb="FFC6E0B4"/>
      <rgbColor rgb="FFF4F1DE"/>
      <rgbColor rgb="FF9C0006"/>
      <rgbColor rgb="FFF4CCCC"/>
      <rgbColor rgb="FFEA6B66"/>
      <rgbColor rgb="FF6B7280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W10"/>
  <sheetViews>
    <sheetView showGridLines="0" workbookViewId="0">
      <selection sqref="A1:W1"/>
    </sheetView>
  </sheetViews>
  <sheetFormatPr defaultColWidth="8.85546875" defaultRowHeight="15" customHeight="1"/>
  <cols>
    <col min="1" max="1" width="14" style="18" customWidth="1"/>
    <col min="2" max="2" width="30" style="18" customWidth="1"/>
    <col min="3" max="3" width="16" style="18" customWidth="1"/>
    <col min="4" max="4" width="34" style="18" customWidth="1"/>
    <col min="5" max="5" width="22" style="18" customWidth="1"/>
    <col min="6" max="6" width="38" style="18" customWidth="1"/>
    <col min="7" max="7" width="34" style="18" customWidth="1"/>
    <col min="8" max="8" width="18" style="18" customWidth="1"/>
    <col min="9" max="9" width="14" style="18" customWidth="1"/>
    <col min="10" max="10" width="10" style="18" customWidth="1"/>
    <col min="11" max="12" width="12" style="18" customWidth="1"/>
    <col min="13" max="13" width="13" style="18" customWidth="1"/>
    <col min="14" max="14" width="14" style="18" customWidth="1"/>
    <col min="15" max="16" width="13" style="18" customWidth="1"/>
    <col min="17" max="18" width="12" style="18" customWidth="1"/>
    <col min="19" max="19" width="16" style="18" customWidth="1"/>
    <col min="20" max="20" width="11" style="18" customWidth="1"/>
    <col min="21" max="21" width="8" style="18" customWidth="1"/>
    <col min="22" max="23" width="28" style="18" customWidth="1"/>
    <col min="24" max="24" width="8.85546875" style="18" customWidth="1"/>
    <col min="25" max="16384" width="8.85546875" style="18"/>
  </cols>
  <sheetData>
    <row r="1" spans="1:23" ht="24" customHeight="1">
      <c r="A1" s="32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4"/>
    </row>
    <row r="2" spans="1:23" ht="20.100000000000001" customHeight="1">
      <c r="A2" s="2" t="s">
        <v>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6"/>
    </row>
    <row r="3" spans="1:23" ht="18" customHeight="1">
      <c r="A3" s="3" t="s">
        <v>2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8"/>
    </row>
    <row r="4" spans="1:23" ht="13.5" customHeight="1">
      <c r="A4" s="4" t="s">
        <v>3</v>
      </c>
      <c r="B4" s="39"/>
      <c r="C4" s="39"/>
      <c r="D4" s="39"/>
      <c r="E4" s="39"/>
      <c r="F4" s="39"/>
      <c r="G4" s="40"/>
      <c r="H4" s="4" t="s">
        <v>4</v>
      </c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40"/>
    </row>
    <row r="5" spans="1:23" ht="33.950000000000003" customHeight="1">
      <c r="A5" s="5" t="s">
        <v>5</v>
      </c>
      <c r="B5" s="6" t="s">
        <v>6</v>
      </c>
      <c r="C5" s="39"/>
      <c r="D5" s="39"/>
      <c r="E5" s="39"/>
      <c r="F5" s="39"/>
      <c r="G5" s="40"/>
      <c r="H5" s="5" t="s">
        <v>7</v>
      </c>
      <c r="I5" s="6" t="s">
        <v>8</v>
      </c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40"/>
    </row>
    <row r="6" spans="1:23" ht="36" customHeight="1">
      <c r="A6" s="7" t="s">
        <v>9</v>
      </c>
      <c r="B6" s="6" t="s">
        <v>10</v>
      </c>
      <c r="C6" s="39"/>
      <c r="D6" s="39"/>
      <c r="E6" s="39"/>
      <c r="F6" s="39"/>
      <c r="G6" s="40"/>
      <c r="H6" s="5" t="s">
        <v>11</v>
      </c>
      <c r="I6" s="6" t="s">
        <v>12</v>
      </c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40"/>
    </row>
    <row r="7" spans="1:23" ht="33.950000000000003" customHeight="1">
      <c r="A7" s="5" t="s">
        <v>13</v>
      </c>
      <c r="B7" s="6" t="s">
        <v>14</v>
      </c>
      <c r="C7" s="39"/>
      <c r="D7" s="39"/>
      <c r="E7" s="39"/>
      <c r="F7" s="39"/>
      <c r="G7" s="40"/>
      <c r="H7" s="5" t="s">
        <v>15</v>
      </c>
      <c r="I7" s="6" t="s">
        <v>16</v>
      </c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40"/>
    </row>
    <row r="8" spans="1:23" ht="24" customHeight="1">
      <c r="A8" s="8" t="s">
        <v>17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41"/>
    </row>
    <row r="9" spans="1:23" ht="42" customHeight="1">
      <c r="A9" s="9" t="s">
        <v>18</v>
      </c>
      <c r="B9" s="9" t="s">
        <v>19</v>
      </c>
      <c r="C9" s="9" t="s">
        <v>20</v>
      </c>
      <c r="D9" s="9" t="s">
        <v>21</v>
      </c>
      <c r="E9" s="9" t="s">
        <v>22</v>
      </c>
      <c r="F9" s="9" t="s">
        <v>23</v>
      </c>
      <c r="G9" s="9" t="s">
        <v>24</v>
      </c>
      <c r="H9" s="9" t="s">
        <v>25</v>
      </c>
      <c r="I9" s="9" t="s">
        <v>26</v>
      </c>
      <c r="J9" s="9" t="s">
        <v>27</v>
      </c>
      <c r="K9" s="9" t="s">
        <v>28</v>
      </c>
      <c r="L9" s="9" t="s">
        <v>29</v>
      </c>
      <c r="M9" s="9" t="s">
        <v>30</v>
      </c>
      <c r="N9" s="9" t="s">
        <v>31</v>
      </c>
      <c r="O9" s="9" t="s">
        <v>32</v>
      </c>
      <c r="P9" s="9" t="s">
        <v>33</v>
      </c>
      <c r="Q9" s="9" t="s">
        <v>34</v>
      </c>
      <c r="R9" s="9" t="s">
        <v>35</v>
      </c>
      <c r="S9" s="9" t="s">
        <v>36</v>
      </c>
      <c r="T9" s="9" t="s">
        <v>37</v>
      </c>
      <c r="U9" s="9" t="s">
        <v>38</v>
      </c>
      <c r="V9" s="9" t="s">
        <v>39</v>
      </c>
      <c r="W9" s="9" t="s">
        <v>40</v>
      </c>
    </row>
    <row r="10" spans="1:23" ht="54" customHeight="1">
      <c r="A10" s="10" t="s">
        <v>41</v>
      </c>
      <c r="B10" s="10" t="s">
        <v>42</v>
      </c>
      <c r="C10" s="10" t="s">
        <v>43</v>
      </c>
      <c r="D10" s="10" t="s">
        <v>44</v>
      </c>
      <c r="E10" s="10" t="s">
        <v>45</v>
      </c>
      <c r="F10" s="10" t="s">
        <v>46</v>
      </c>
      <c r="G10" s="10" t="s">
        <v>47</v>
      </c>
      <c r="H10" s="11" t="s">
        <v>48</v>
      </c>
      <c r="I10" s="11" t="s">
        <v>49</v>
      </c>
      <c r="J10" s="12">
        <v>4</v>
      </c>
      <c r="K10" s="12">
        <v>5</v>
      </c>
      <c r="L10" s="12">
        <v>4</v>
      </c>
      <c r="M10" s="12">
        <v>4</v>
      </c>
      <c r="N10" s="12">
        <v>4</v>
      </c>
      <c r="O10" s="12">
        <v>2</v>
      </c>
      <c r="P10" s="12">
        <v>4</v>
      </c>
      <c r="Q10" s="13">
        <f t="array" ref="Q10">IF(COUNT(J10:L10)&lt;3,"",ROUND(J10*'Scoring Parameters'!$B$2+K10*'Scoring Parameters'!$B$3+L10*'Scoring Parameters'!$B$4,2))</f>
        <v>4.4000000000000004</v>
      </c>
      <c r="R10" s="13">
        <f t="array" ref="R10">IF(OR(Q10="",M10=""),"",ROUND(Q10*'Scoring Parameters'!$B$5+M10*'Scoring Parameters'!$B$6,2))</f>
        <v>4.28</v>
      </c>
      <c r="S10" s="13">
        <f t="array" ref="S10">IF(COUNT(N10:P10)&lt;3,"",ROUND(P10*'Scoring Parameters'!$B$7+N10*'Scoring Parameters'!$B$8+O10*'Scoring Parameters'!$B$9,2))</f>
        <v>3.5</v>
      </c>
      <c r="T10" s="14">
        <f t="array" ref="T10">IF(OR(R10="",S10=""),"",ROUND(MAX(R10,S10),2))</f>
        <v>4.28</v>
      </c>
      <c r="U10" s="15" t="str">
        <f t="array" ref="U10">IF(T10="","",IF(ROUND(T10,1)&lt;=1.8,"A",IF(ROUND(T10,1)&lt;=2.6,"B",IF(ROUND(T10,1)&lt;=3.4,"C",IF(ROUND(T10,1)&lt;=4.2,"D","E")))))</f>
        <v>E</v>
      </c>
      <c r="V10" s="10" t="s">
        <v>50</v>
      </c>
      <c r="W10" s="10" t="s">
        <v>51</v>
      </c>
    </row>
  </sheetData>
  <mergeCells count="12">
    <mergeCell ref="I6:W6"/>
    <mergeCell ref="A1:W1"/>
    <mergeCell ref="I7:W7"/>
    <mergeCell ref="B5:G5"/>
    <mergeCell ref="A8:W8"/>
    <mergeCell ref="H4:W4"/>
    <mergeCell ref="A4:G4"/>
    <mergeCell ref="A3:W3"/>
    <mergeCell ref="I5:W5"/>
    <mergeCell ref="A2:W2"/>
    <mergeCell ref="B7:G7"/>
    <mergeCell ref="B6:G6"/>
  </mergeCells>
  <pageMargins left="0.7" right="0.7" top="0.75" bottom="0.75" header="0.3" footer="0.3"/>
  <pageSetup orientation="portrait"/>
  <headerFooter>
    <oddFooter>&amp;C&amp;"Helvetica Neue,Regular"&amp;12 &amp;K000000&amp;P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showGridLines="0" workbookViewId="0">
      <selection activeCell="A4" sqref="A4"/>
    </sheetView>
  </sheetViews>
  <sheetFormatPr defaultColWidth="8.85546875" defaultRowHeight="15" customHeight="1"/>
  <cols>
    <col min="1" max="1" width="28" customWidth="1"/>
    <col min="2" max="2" width="14" customWidth="1"/>
    <col min="3" max="6" width="8.85546875" customWidth="1"/>
  </cols>
  <sheetData>
    <row r="1" spans="1:5" ht="13.5" customHeight="1">
      <c r="A1" s="16" t="s">
        <v>52</v>
      </c>
      <c r="B1" s="16" t="s">
        <v>53</v>
      </c>
      <c r="C1" s="1"/>
      <c r="D1" s="1"/>
      <c r="E1" s="1"/>
    </row>
    <row r="2" spans="1:5" ht="13.5" customHeight="1">
      <c r="A2" s="16" t="s">
        <v>54</v>
      </c>
      <c r="B2" s="17">
        <v>0.35</v>
      </c>
      <c r="C2" s="1"/>
      <c r="D2" s="1"/>
      <c r="E2" s="1"/>
    </row>
    <row r="3" spans="1:5" ht="13.5" customHeight="1">
      <c r="A3" s="16" t="s">
        <v>55</v>
      </c>
      <c r="B3" s="17">
        <v>0.4</v>
      </c>
      <c r="C3" s="1"/>
      <c r="D3" s="1"/>
      <c r="E3" s="1"/>
    </row>
    <row r="4" spans="1:5" ht="13.5" customHeight="1">
      <c r="A4" s="16" t="s">
        <v>56</v>
      </c>
      <c r="B4" s="17">
        <v>0.25</v>
      </c>
      <c r="C4" s="1"/>
      <c r="D4" s="1"/>
      <c r="E4" s="1"/>
    </row>
    <row r="5" spans="1:5" ht="13.5" customHeight="1">
      <c r="A5" s="16" t="s">
        <v>57</v>
      </c>
      <c r="B5" s="17">
        <v>0.7</v>
      </c>
      <c r="C5" s="1"/>
      <c r="D5" s="1"/>
      <c r="E5" s="1"/>
    </row>
    <row r="6" spans="1:5" ht="13.5" customHeight="1">
      <c r="A6" s="16" t="s">
        <v>58</v>
      </c>
      <c r="B6" s="17">
        <v>0.3</v>
      </c>
      <c r="C6" s="1"/>
      <c r="D6" s="1"/>
      <c r="E6" s="1"/>
    </row>
    <row r="7" spans="1:5" ht="13.5" customHeight="1">
      <c r="A7" s="16" t="s">
        <v>59</v>
      </c>
      <c r="B7" s="17">
        <v>0.5</v>
      </c>
      <c r="C7" s="1"/>
      <c r="D7" s="1"/>
      <c r="E7" s="1"/>
    </row>
    <row r="8" spans="1:5" ht="13.5" customHeight="1">
      <c r="A8" s="16" t="s">
        <v>60</v>
      </c>
      <c r="B8" s="17">
        <v>0.25</v>
      </c>
      <c r="C8" s="1"/>
      <c r="D8" s="1"/>
      <c r="E8" s="1"/>
    </row>
    <row r="9" spans="1:5" ht="13.5" customHeight="1">
      <c r="A9" s="16" t="s">
        <v>61</v>
      </c>
      <c r="B9" s="17">
        <v>0.25</v>
      </c>
      <c r="C9" s="1"/>
      <c r="D9" s="1"/>
      <c r="E9" s="1"/>
    </row>
    <row r="10" spans="1:5" ht="13.5" customHeight="1">
      <c r="A10" s="1"/>
      <c r="B10" s="1"/>
      <c r="C10" s="1"/>
      <c r="D10" s="1"/>
      <c r="E10" s="1"/>
    </row>
  </sheetData>
  <pageMargins left="0.7" right="0.7" top="0.75" bottom="0.75" header="0.3" footer="0.3"/>
  <pageSetup orientation="portrait"/>
  <headerFooter>
    <oddFooter>&amp;C&amp;"Helvetica Neue,Regular"&amp;12 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30A0"/>
  </sheetPr>
  <dimension ref="A1:M10"/>
  <sheetViews>
    <sheetView showGridLines="0" tabSelected="1" workbookViewId="0">
      <selection sqref="A1:M1"/>
    </sheetView>
  </sheetViews>
  <sheetFormatPr defaultColWidth="8.85546875" defaultRowHeight="15" customHeight="1"/>
  <cols>
    <col min="1" max="1" width="14" style="18" customWidth="1"/>
    <col min="2" max="2" width="30" style="18" customWidth="1"/>
    <col min="3" max="3" width="34" style="18" customWidth="1"/>
    <col min="4" max="4" width="26" style="18" customWidth="1"/>
    <col min="5" max="5" width="18" style="18" customWidth="1"/>
    <col min="6" max="6" width="14" style="18" customWidth="1"/>
    <col min="7" max="7" width="12" style="18" customWidth="1"/>
    <col min="8" max="8" width="11" style="18" customWidth="1"/>
    <col min="9" max="9" width="8" style="18" customWidth="1"/>
    <col min="10" max="10" width="20" style="18" customWidth="1"/>
    <col min="11" max="11" width="36" style="18" customWidth="1"/>
    <col min="12" max="12" width="30" style="18" customWidth="1"/>
    <col min="13" max="13" width="28" style="18" customWidth="1"/>
    <col min="14" max="14" width="8.85546875" style="18" customWidth="1"/>
    <col min="15" max="16384" width="8.85546875" style="18"/>
  </cols>
  <sheetData>
    <row r="1" spans="1:13" ht="24" customHeight="1">
      <c r="A1" s="32" t="s">
        <v>62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3"/>
    </row>
    <row r="2" spans="1:13" ht="20.100000000000001" customHeight="1">
      <c r="A2" s="2" t="s">
        <v>63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6"/>
    </row>
    <row r="3" spans="1:13" ht="56.1" customHeight="1">
      <c r="A3" s="2" t="s">
        <v>64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6"/>
    </row>
    <row r="4" spans="1:13" ht="13.5" customHeight="1">
      <c r="A4" s="19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1"/>
    </row>
    <row r="5" spans="1:13" ht="21.95" customHeight="1">
      <c r="A5" s="22" t="s">
        <v>65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8"/>
    </row>
    <row r="6" spans="1:13" ht="38.1" customHeight="1">
      <c r="A6" s="9" t="s">
        <v>18</v>
      </c>
      <c r="B6" s="9" t="s">
        <v>19</v>
      </c>
      <c r="C6" s="9" t="s">
        <v>21</v>
      </c>
      <c r="D6" s="9" t="s">
        <v>66</v>
      </c>
      <c r="E6" s="9" t="s">
        <v>25</v>
      </c>
      <c r="F6" s="9" t="s">
        <v>26</v>
      </c>
      <c r="G6" s="9" t="s">
        <v>35</v>
      </c>
      <c r="H6" s="9" t="s">
        <v>37</v>
      </c>
      <c r="I6" s="9" t="s">
        <v>38</v>
      </c>
      <c r="J6" s="9" t="s">
        <v>67</v>
      </c>
      <c r="K6" s="9" t="s">
        <v>68</v>
      </c>
      <c r="L6" s="9" t="s">
        <v>69</v>
      </c>
      <c r="M6" s="9" t="s">
        <v>40</v>
      </c>
    </row>
    <row r="7" spans="1:13" ht="54" customHeight="1">
      <c r="A7" s="23" t="str">
        <f t="array" ref="A7">'Risk Register'!A10</f>
        <v>TLF-SEC-017</v>
      </c>
      <c r="B7" s="23" t="str">
        <f t="array" ref="B7">'Risk Register'!B10</f>
        <v>Broken authorization on export endpoint</v>
      </c>
      <c r="C7" s="23" t="str">
        <f t="array" ref="C7">'Risk Register'!D10</f>
        <v>Billing API | ExportController | src/Billing.Api/Controllers/ExportController.cs | Endpoint: /api/admin/export</v>
      </c>
      <c r="D7" s="23" t="str">
        <f t="array" ref="D7">'Risk Register'!E10</f>
        <v>CWE-639 | OWASP ASVS 5.0 | OWASP WSTG</v>
      </c>
      <c r="E7" s="24" t="str">
        <f t="array" ref="E7">'Risk Register'!H10</f>
        <v>Validated finding
(Reproduced)</v>
      </c>
      <c r="F7" s="24" t="str">
        <f t="array" ref="F7">'Risk Register'!I10</f>
        <v>High</v>
      </c>
      <c r="G7" s="13">
        <f t="array" ref="G7">'Risk Register'!R10</f>
        <v>4.28</v>
      </c>
      <c r="H7" s="14">
        <f t="array" ref="H7">'Risk Register'!T10</f>
        <v>4.28</v>
      </c>
      <c r="I7" s="15" t="str">
        <f t="array" ref="I7">'Risk Register'!U10</f>
        <v>E</v>
      </c>
      <c r="J7" s="23" t="str">
        <f t="array" ref="J7">'Risk Register'!V10</f>
        <v>Negotiation Relevant</v>
      </c>
      <c r="K7" s="23" t="str">
        <f t="array" ref="K7">'Risk Register'!F10</f>
        <v>A standard user can export another tenant's data by manipulating tenantId.</v>
      </c>
      <c r="L7" s="23" t="str">
        <f t="array" ref="L7">'Risk Register'!G10</f>
        <v>Request tampering allowed cross-tenant data export during controlled validation.</v>
      </c>
      <c r="M7" s="23" t="str">
        <f t="array" ref="M7">'Risk Register'!W10</f>
        <v>Enforce server-side tenant authorization checks</v>
      </c>
    </row>
    <row r="8" spans="1:13" ht="13.5" customHeight="1">
      <c r="A8" s="25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7"/>
    </row>
    <row r="9" spans="1:13" ht="12" customHeight="1">
      <c r="A9" s="28" t="s">
        <v>70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6"/>
    </row>
    <row r="10" spans="1:13" ht="13.5" customHeight="1">
      <c r="A10" s="29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1"/>
    </row>
  </sheetData>
  <mergeCells count="5">
    <mergeCell ref="A1:M1"/>
    <mergeCell ref="A5:M5"/>
    <mergeCell ref="A9:M9"/>
    <mergeCell ref="A3:M3"/>
    <mergeCell ref="A2:M2"/>
  </mergeCells>
  <pageMargins left="0.7" right="0.7" top="0.75" bottom="0.75" header="0.3" footer="0.3"/>
  <pageSetup orientation="portrait"/>
  <headerFooter>
    <oddFooter>&amp;C&amp;"Helvetica Neue,Regular"&amp;12 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ae9bdcc-9fce-4b52-828a-ac7c529eb7a0">
      <Terms xmlns="http://schemas.microsoft.com/office/infopath/2007/PartnerControls"/>
    </lcf76f155ced4ddcb4097134ff3c332f>
    <_Flow_SignoffStatus xmlns="bae9bdcc-9fce-4b52-828a-ac7c529eb7a0" xsi:nil="true"/>
    <TaxCatchAll xmlns="d7b43b22-35cd-4f2d-bd53-7763823af96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B256D6BAAF9404D8E100342F9034B87" ma:contentTypeVersion="19" ma:contentTypeDescription="Creare un nuovo documento." ma:contentTypeScope="" ma:versionID="36c93240bbaf88dbff1ff12f90f6ba85">
  <xsd:schema xmlns:xsd="http://www.w3.org/2001/XMLSchema" xmlns:xs="http://www.w3.org/2001/XMLSchema" xmlns:p="http://schemas.microsoft.com/office/2006/metadata/properties" xmlns:ns2="d7b43b22-35cd-4f2d-bd53-7763823af963" xmlns:ns3="bae9bdcc-9fce-4b52-828a-ac7c529eb7a0" targetNamespace="http://schemas.microsoft.com/office/2006/metadata/properties" ma:root="true" ma:fieldsID="a271b6848d159f4dcffd4d401c2e8ee0" ns2:_="" ns3:_="">
    <xsd:import namespace="d7b43b22-35cd-4f2d-bd53-7763823af963"/>
    <xsd:import namespace="bae9bdcc-9fce-4b52-828a-ac7c529eb7a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_Flow_SignoffStatus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ServiceLocation" minOccurs="0"/>
                <xsd:element ref="ns3:MediaServiceSearchProperties" minOccurs="0"/>
                <xsd:element ref="ns3:MediaServiceObjectDetectorVersion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b43b22-35cd-4f2d-bd53-7763823af96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4200d373-f6fa-47d4-9c6b-9a654646c9a2}" ma:internalName="TaxCatchAll" ma:showField="CatchAllData" ma:web="d7b43b22-35cd-4f2d-bd53-7763823af96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e9bdcc-9fce-4b52-828a-ac7c529eb7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_Flow_SignoffStatus" ma:index="15" nillable="true" ma:displayName="Stato consenso" ma:internalName="_x0024_Resources_x003a_core_x002c_Signoff_Status_x003b_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Tag immagine" ma:readOnly="false" ma:fieldId="{5cf76f15-5ced-4ddc-b409-7134ff3c332f}" ma:taxonomyMulti="true" ma:sspId="e527653e-8c97-4168-b211-96888c37c3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6EF5454-2FA8-466A-9E67-C11B240952DA}"/>
</file>

<file path=customXml/itemProps2.xml><?xml version="1.0" encoding="utf-8"?>
<ds:datastoreItem xmlns:ds="http://schemas.openxmlformats.org/officeDocument/2006/customXml" ds:itemID="{140AE190-22E0-4E26-B1A7-FF5C578C367C}"/>
</file>

<file path=customXml/itemProps3.xml><?xml version="1.0" encoding="utf-8"?>
<ds:datastoreItem xmlns:ds="http://schemas.openxmlformats.org/officeDocument/2006/customXml" ds:itemID="{1EB611C3-6AFE-404C-AD03-A767ECE1B0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Tecnolife</dc:creator>
  <cp:keywords/>
  <dc:description/>
  <cp:lastModifiedBy>Mattia  Crea</cp:lastModifiedBy>
  <cp:revision>1</cp:revision>
  <dcterms:created xsi:type="dcterms:W3CDTF">2097-12-31T00:00:00Z</dcterms:created>
  <dcterms:modified xsi:type="dcterms:W3CDTF">2026-03-26T16:29:55Z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0x0101009B256D6BAAF9404D8E100342F9034B87</vt:lpwstr>
  </property>
  <property fmtid="{D5CDD505-2E9C-101B-9397-08002B2CF9AE}" pid="3" name="MediaServiceImageTags">
    <vt:lpwstr/>
  </property>
</Properties>
</file>